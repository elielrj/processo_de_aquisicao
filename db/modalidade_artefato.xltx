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styles.xml" ContentType="application/vnd.openxmlformats-officedocument.spreadsheetml.styles+xml"/>
  <Override PartName="/xl/workbook.xml" ContentType="application/vnd.openxmlformats-officedocument.spreadsheetml.template.main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modalidade_artefato" sheetId="1" state="visible" r:id="rId2"/>
    <sheet name="PE SRP" sheetId="2" state="visible" r:id="rId3"/>
    <sheet name="PE Tradicional" sheetId="3" state="visible" r:id="rId4"/>
    <sheet name="Artefatos" sheetId="4" state="visible" r:id="rId5"/>
    <sheet name="modalidade" sheetId="5" state="visible" r:id="rId6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<sst xmlns="http://schemas.openxmlformats.org/spreadsheetml/2006/main" count="469" uniqueCount="93">
  <si>
    <t xml:space="preserve">`modalidade_id`</t>
  </si>
  <si>
    <t xml:space="preserve">`artefato_id`</t>
  </si>
  <si>
    <t xml:space="preserve">`status`</t>
  </si>
  <si>
    <t xml:space="preserve">id</t>
  </si>
  <si>
    <t xml:space="preserve">nome</t>
  </si>
  <si>
    <t xml:space="preserve">status</t>
  </si>
  <si>
    <t xml:space="preserve">“</t>
  </si>
  <si>
    <t xml:space="preserve">Capa</t>
  </si>
  <si>
    <t xml:space="preserve">true</t>
  </si>
  <si>
    <t xml:space="preserve">Índice</t>
  </si>
  <si>
    <t xml:space="preserve">Termo De Autuação</t>
  </si>
  <si>
    <t xml:space="preserve">Nomeação Do Cmt Da Unidade</t>
  </si>
  <si>
    <t xml:space="preserve">Nomeação Da Equipe Da Contratação</t>
  </si>
  <si>
    <t xml:space="preserve">Nomeação De Pregoeiro Equipe De Apoio</t>
  </si>
  <si>
    <t xml:space="preserve">Certificado Do Pregoeiro</t>
  </si>
  <si>
    <t xml:space="preserve">Documento De Formalização Da Demanda - DFD</t>
  </si>
  <si>
    <t xml:space="preserve">Relação De Itens De Aquisição/ Serviço</t>
  </si>
  <si>
    <t xml:space="preserve">Autorização P/ Abertura De Processo</t>
  </si>
  <si>
    <t xml:space="preserve">ETP – Estudo Técnico Preliminar</t>
  </si>
  <si>
    <t xml:space="preserve">MGR – Mapa De Gerenciamento De Riscos</t>
  </si>
  <si>
    <t xml:space="preserve">Minuta TR Da Sç Demandante</t>
  </si>
  <si>
    <t xml:space="preserve">Aprovação ETP E TR</t>
  </si>
  <si>
    <t xml:space="preserve">Relatório Pesquisa De Preços – RPP</t>
  </si>
  <si>
    <t xml:space="preserve">Pesquisas De Preços – PP</t>
  </si>
  <si>
    <t xml:space="preserve">Mapa Comparativo De Preços – MCP</t>
  </si>
  <si>
    <t xml:space="preserve">Quadro IRP</t>
  </si>
  <si>
    <t xml:space="preserve">Aviso de Abertura de IRP À 5ª CGCFEx</t>
  </si>
  <si>
    <t xml:space="preserve">Minuta Do Edital</t>
  </si>
  <si>
    <t xml:space="preserve">Minuta Do Termo De Referência – TR Da SALC</t>
  </si>
  <si>
    <t xml:space="preserve">Minuta Da ARP</t>
  </si>
  <si>
    <t xml:space="preserve">Minuta De Contrato</t>
  </si>
  <si>
    <t xml:space="preserve">Declaração Inexistência De Atas</t>
  </si>
  <si>
    <t xml:space="preserve">Declaração De Natureza Do Objeto</t>
  </si>
  <si>
    <t xml:space="preserve">Declaração De Atividade De Custeio</t>
  </si>
  <si>
    <t xml:space="preserve">Declaração De Adequação Orçamentária</t>
  </si>
  <si>
    <t xml:space="preserve">Justificativa De PE SRP</t>
  </si>
  <si>
    <t xml:space="preserve">Justificativa Para Alterações Das Minutas</t>
  </si>
  <si>
    <t xml:space="preserve">Justificativa de não exclusividade para ME/EPP</t>
  </si>
  <si>
    <t xml:space="preserve">Lista De Verificação - Anexo I Da SEGE</t>
  </si>
  <si>
    <t xml:space="preserve">Lista De Verificação - Anexo II Da SEGE</t>
  </si>
  <si>
    <t xml:space="preserve">Ofício Para CJU Analisar Processo</t>
  </si>
  <si>
    <t xml:space="preserve">Ofício De Remessa Da CJU</t>
  </si>
  <si>
    <t xml:space="preserve">Parecer Da CJU</t>
  </si>
  <si>
    <t xml:space="preserve">Pedidos de impugnação</t>
  </si>
  <si>
    <t xml:space="preserve">Decisão sobre pedidos de impugnação</t>
  </si>
  <si>
    <t xml:space="preserve">Pedidos de esclarecimentos</t>
  </si>
  <si>
    <t xml:space="preserve">Esclarecimentos publicado</t>
  </si>
  <si>
    <t xml:space="preserve">Edital Revisado</t>
  </si>
  <si>
    <t xml:space="preserve">TR Revisado</t>
  </si>
  <si>
    <t xml:space="preserve">Minuta ARP Revisado</t>
  </si>
  <si>
    <t xml:space="preserve">Minuta Contrato Revisado</t>
  </si>
  <si>
    <t xml:space="preserve">Aviso(s) de publicação(ões) no DOU</t>
  </si>
  <si>
    <t xml:space="preserve">ARP Assinada</t>
  </si>
  <si>
    <t xml:space="preserve">Contrato assinado</t>
  </si>
  <si>
    <t xml:space="preserve">Termo De Encerramento</t>
  </si>
  <si>
    <t xml:space="preserve">(1</t>
  </si>
  <si>
    <t xml:space="preserve">'Pregão SRP'</t>
  </si>
  <si>
    <t xml:space="preserve">true)</t>
  </si>
  <si>
    <t xml:space="preserve">(2</t>
  </si>
  <si>
    <t xml:space="preserve">'Pregão Tradicional'</t>
  </si>
  <si>
    <t xml:space="preserve">(3</t>
  </si>
  <si>
    <t xml:space="preserve">'Concorrência'</t>
  </si>
  <si>
    <t xml:space="preserve">(4</t>
  </si>
  <si>
    <t xml:space="preserve">'Concurso'</t>
  </si>
  <si>
    <t xml:space="preserve">(5</t>
  </si>
  <si>
    <t xml:space="preserve">'Leilão'</t>
  </si>
  <si>
    <t xml:space="preserve">(6</t>
  </si>
  <si>
    <t xml:space="preserve">'Diálogo Competitivo'</t>
  </si>
  <si>
    <t xml:space="preserve">(7</t>
  </si>
  <si>
    <t xml:space="preserve">'Dispensa de Licitação'</t>
  </si>
  <si>
    <t xml:space="preserve">(8</t>
  </si>
  <si>
    <t xml:space="preserve">(9</t>
  </si>
  <si>
    <t xml:space="preserve">(10</t>
  </si>
  <si>
    <t xml:space="preserve">(11</t>
  </si>
  <si>
    <t xml:space="preserve">(12</t>
  </si>
  <si>
    <t xml:space="preserve">(13</t>
  </si>
  <si>
    <t xml:space="preserve">(14</t>
  </si>
  <si>
    <t xml:space="preserve">(15</t>
  </si>
  <si>
    <t xml:space="preserve">(16</t>
  </si>
  <si>
    <t xml:space="preserve">(17</t>
  </si>
  <si>
    <t xml:space="preserve">(18</t>
  </si>
  <si>
    <t xml:space="preserve">(19</t>
  </si>
  <si>
    <t xml:space="preserve">(20</t>
  </si>
  <si>
    <t xml:space="preserve">(21</t>
  </si>
  <si>
    <t xml:space="preserve">(22</t>
  </si>
  <si>
    <t xml:space="preserve">(23</t>
  </si>
  <si>
    <t xml:space="preserve">(24</t>
  </si>
  <si>
    <t xml:space="preserve">'Inexigibilidade de Licitação'</t>
  </si>
  <si>
    <t xml:space="preserve">(25</t>
  </si>
  <si>
    <t xml:space="preserve">(26</t>
  </si>
  <si>
    <t xml:space="preserve">(27</t>
  </si>
  <si>
    <t xml:space="preserve">(28</t>
  </si>
  <si>
    <t xml:space="preserve">true);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</si>
</sst>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0" activeCellId="0" sqref="D40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14.2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8"/>
  <sheetViews>
    <sheetView showFormulas="false" showGridLines="true" showRowColHeaders="true" showZeros="true" rightToLeft="false" tabSelected="false" showOutlineSymbols="true" defaultGridColor="true" view="normal" topLeftCell="A26" colorId="64" zoomScale="100" zoomScaleNormal="100" zoomScalePageLayoutView="100" workbookViewId="0">
      <selection pane="topLeft" activeCell="F48" activeCellId="0" sqref="F48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4.17"/>
    <col collapsed="false" customWidth="true" hidden="false" outlineLevel="0" max="3" min="3" style="0" width="41.21"/>
    <col collapsed="false" customWidth="true" hidden="false" outlineLevel="0" max="4" min="4" style="0" width="3.2"/>
    <col collapsed="false" customWidth="true" hidden="false" outlineLevel="0" max="6" min="6" style="0" width="49.41"/>
  </cols>
  <sheetData>
    <row r="1" customFormat="false" ht="12.8" hidden="false" customHeight="false" outlineLevel="0" collapsed="false">
      <c r="A1" s="0" t="s">
        <v>3</v>
      </c>
      <c r="C1" s="0" t="s">
        <v>4</v>
      </c>
      <c r="E1" s="0" t="s">
        <v>5</v>
      </c>
    </row>
    <row r="2" customFormat="false" ht="12.8" hidden="false" customHeight="false" outlineLevel="0" collapsed="false">
      <c r="A2" s="0" t="n">
        <v>1</v>
      </c>
      <c r="B2" s="0" t="s">
        <v>6</v>
      </c>
      <c r="C2" s="0" t="s">
        <v>7</v>
      </c>
      <c r="D2" s="0" t="s">
        <v>6</v>
      </c>
      <c r="E2" s="0" t="s">
        <v>8</v>
      </c>
      <c r="F2" s="0" t="str">
        <f aca="false">CONCATENATE("(",A2,",",B2,C2,D2,",",E2,"),")</f>
        <v>(1,“Capa“,true),</v>
      </c>
    </row>
    <row r="3" customFormat="false" ht="12.8" hidden="false" customHeight="false" outlineLevel="0" collapsed="false">
      <c r="A3" s="0" t="n">
        <f aca="false">1+A2</f>
        <v>2</v>
      </c>
      <c r="B3" s="0" t="s">
        <v>6</v>
      </c>
      <c r="C3" s="0" t="s">
        <v>9</v>
      </c>
      <c r="D3" s="0" t="s">
        <v>6</v>
      </c>
      <c r="E3" s="0" t="s">
        <v>8</v>
      </c>
      <c r="F3" s="0" t="str">
        <f aca="false">CONCATENATE("(",A3,",",B3,C3,D3,",",E3,"),")</f>
        <v>(2,“Índice“,true),</v>
      </c>
    </row>
    <row r="4" customFormat="false" ht="12.8" hidden="false" customHeight="false" outlineLevel="0" collapsed="false">
      <c r="A4" s="0" t="n">
        <f aca="false">1+A3</f>
        <v>3</v>
      </c>
      <c r="B4" s="0" t="s">
        <v>6</v>
      </c>
      <c r="C4" s="0" t="s">
        <v>10</v>
      </c>
      <c r="D4" s="0" t="s">
        <v>6</v>
      </c>
      <c r="E4" s="0" t="s">
        <v>8</v>
      </c>
      <c r="F4" s="0" t="str">
        <f aca="false">CONCATENATE("(",A4,",",B4,C4,D4,",",E4,"),")</f>
        <v>(3,“Termo De Autuação“,true),</v>
      </c>
    </row>
    <row r="5" customFormat="false" ht="12.8" hidden="false" customHeight="false" outlineLevel="0" collapsed="false">
      <c r="A5" s="0" t="n">
        <f aca="false">1+A4</f>
        <v>4</v>
      </c>
      <c r="B5" s="0" t="s">
        <v>6</v>
      </c>
      <c r="C5" s="0" t="s">
        <v>11</v>
      </c>
      <c r="D5" s="0" t="s">
        <v>6</v>
      </c>
      <c r="E5" s="0" t="s">
        <v>8</v>
      </c>
      <c r="F5" s="0" t="str">
        <f aca="false">CONCATENATE("(",A5,",",B5,C5,D5,",",E5,"),")</f>
        <v>(4,“Nomeação Do Cmt Da Unidade“,true),</v>
      </c>
    </row>
    <row r="6" customFormat="false" ht="12.8" hidden="false" customHeight="false" outlineLevel="0" collapsed="false">
      <c r="A6" s="0" t="n">
        <f aca="false">1+A5</f>
        <v>5</v>
      </c>
      <c r="B6" s="0" t="s">
        <v>6</v>
      </c>
      <c r="C6" s="0" t="s">
        <v>12</v>
      </c>
      <c r="D6" s="0" t="s">
        <v>6</v>
      </c>
      <c r="E6" s="0" t="s">
        <v>8</v>
      </c>
      <c r="F6" s="0" t="str">
        <f aca="false">CONCATENATE("(",A6,",",B6,C6,D6,",",E6,"),")</f>
        <v>(5,“Nomeação Da Equipe Da Contratação“,true),</v>
      </c>
    </row>
    <row r="7" customFormat="false" ht="12.8" hidden="false" customHeight="false" outlineLevel="0" collapsed="false">
      <c r="A7" s="0" t="n">
        <f aca="false">1+A6</f>
        <v>6</v>
      </c>
      <c r="B7" s="0" t="s">
        <v>6</v>
      </c>
      <c r="C7" s="0" t="s">
        <v>13</v>
      </c>
      <c r="D7" s="0" t="s">
        <v>6</v>
      </c>
      <c r="E7" s="0" t="s">
        <v>8</v>
      </c>
      <c r="F7" s="0" t="str">
        <f aca="false">CONCATENATE("(",A7,",",B7,C7,D7,",",E7,"),")</f>
        <v>(6,“Nomeação De Pregoeiro Equipe De Apoio“,true),</v>
      </c>
    </row>
    <row r="8" customFormat="false" ht="12.8" hidden="false" customHeight="false" outlineLevel="0" collapsed="false">
      <c r="A8" s="0" t="n">
        <f aca="false">1+A7</f>
        <v>7</v>
      </c>
      <c r="B8" s="0" t="s">
        <v>6</v>
      </c>
      <c r="C8" s="0" t="s">
        <v>14</v>
      </c>
      <c r="D8" s="0" t="s">
        <v>6</v>
      </c>
      <c r="E8" s="0" t="s">
        <v>8</v>
      </c>
      <c r="F8" s="0" t="str">
        <f aca="false">CONCATENATE("(",A8,",",B8,C8,D8,",",E8,"),")</f>
        <v>(7,“Certificado Do Pregoeiro“,true),</v>
      </c>
    </row>
    <row r="9" customFormat="false" ht="12.8" hidden="false" customHeight="false" outlineLevel="0" collapsed="false">
      <c r="A9" s="0" t="n">
        <f aca="false">1+A8</f>
        <v>8</v>
      </c>
      <c r="B9" s="0" t="s">
        <v>6</v>
      </c>
      <c r="C9" s="0" t="s">
        <v>15</v>
      </c>
      <c r="D9" s="0" t="s">
        <v>6</v>
      </c>
      <c r="E9" s="0" t="s">
        <v>8</v>
      </c>
      <c r="F9" s="0" t="str">
        <f aca="false">CONCATENATE("(",A9,",",B9,C9,D9,",",E9,"),")</f>
        <v>(8,“Documento De Formalização Da Demanda - DFD“,true),</v>
      </c>
    </row>
    <row r="10" customFormat="false" ht="12.8" hidden="false" customHeight="false" outlineLevel="0" collapsed="false">
      <c r="A10" s="0" t="n">
        <f aca="false">1+A9</f>
        <v>9</v>
      </c>
      <c r="B10" s="0" t="s">
        <v>6</v>
      </c>
      <c r="C10" s="0" t="s">
        <v>16</v>
      </c>
      <c r="D10" s="0" t="s">
        <v>6</v>
      </c>
      <c r="E10" s="0" t="s">
        <v>8</v>
      </c>
      <c r="F10" s="0" t="str">
        <f aca="false">CONCATENATE("(",A10,",",B10,C10,D10,",",E10,"),")</f>
        <v>(9,“Relação De Itens De Aquisição/ Serviço“,true),</v>
      </c>
    </row>
    <row r="11" customFormat="false" ht="12.8" hidden="false" customHeight="false" outlineLevel="0" collapsed="false">
      <c r="A11" s="0" t="n">
        <f aca="false">1+A10</f>
        <v>10</v>
      </c>
      <c r="B11" s="0" t="s">
        <v>6</v>
      </c>
      <c r="C11" s="0" t="s">
        <v>17</v>
      </c>
      <c r="D11" s="0" t="s">
        <v>6</v>
      </c>
      <c r="E11" s="0" t="s">
        <v>8</v>
      </c>
      <c r="F11" s="0" t="str">
        <f aca="false">CONCATENATE("(",A11,",",B11,C11,D11,",",E11,"),")</f>
        <v>(10,“Autorização P/ Abertura De Processo“,true),</v>
      </c>
    </row>
    <row r="12" customFormat="false" ht="12.8" hidden="false" customHeight="false" outlineLevel="0" collapsed="false">
      <c r="A12" s="0" t="n">
        <f aca="false">1+A11</f>
        <v>11</v>
      </c>
      <c r="B12" s="0" t="s">
        <v>6</v>
      </c>
      <c r="C12" s="0" t="s">
        <v>18</v>
      </c>
      <c r="D12" s="0" t="s">
        <v>6</v>
      </c>
      <c r="E12" s="0" t="s">
        <v>8</v>
      </c>
      <c r="F12" s="0" t="str">
        <f aca="false">CONCATENATE("(",A12,",",B12,C12,D12,",",E12,"),")</f>
        <v>(11,“ETP – Estudo Técnico Preliminar“,true),</v>
      </c>
    </row>
    <row r="13" customFormat="false" ht="12.8" hidden="false" customHeight="false" outlineLevel="0" collapsed="false">
      <c r="A13" s="0" t="n">
        <f aca="false">1+A12</f>
        <v>12</v>
      </c>
      <c r="B13" s="0" t="s">
        <v>6</v>
      </c>
      <c r="C13" s="0" t="s">
        <v>19</v>
      </c>
      <c r="D13" s="0" t="s">
        <v>6</v>
      </c>
      <c r="E13" s="0" t="s">
        <v>8</v>
      </c>
      <c r="F13" s="0" t="str">
        <f aca="false">CONCATENATE("(",A13,",",B13,C13,D13,",",E13,"),")</f>
        <v>(12,“MGR – Mapa De Gerenciamento De Riscos“,true),</v>
      </c>
    </row>
    <row r="14" customFormat="false" ht="12.8" hidden="false" customHeight="false" outlineLevel="0" collapsed="false">
      <c r="A14" s="0" t="n">
        <f aca="false">1+A13</f>
        <v>13</v>
      </c>
      <c r="B14" s="0" t="s">
        <v>6</v>
      </c>
      <c r="C14" s="0" t="s">
        <v>20</v>
      </c>
      <c r="D14" s="0" t="s">
        <v>6</v>
      </c>
      <c r="E14" s="0" t="s">
        <v>8</v>
      </c>
      <c r="F14" s="0" t="str">
        <f aca="false">CONCATENATE("(",A14,",",B14,C14,D14,",",E14,"),")</f>
        <v>(13,“Minuta TR Da Sç Demandante“,true),</v>
      </c>
    </row>
    <row r="15" customFormat="false" ht="12.8" hidden="false" customHeight="false" outlineLevel="0" collapsed="false">
      <c r="A15" s="0" t="n">
        <f aca="false">1+A14</f>
        <v>14</v>
      </c>
      <c r="B15" s="0" t="s">
        <v>6</v>
      </c>
      <c r="C15" s="0" t="s">
        <v>21</v>
      </c>
      <c r="D15" s="0" t="s">
        <v>6</v>
      </c>
      <c r="E15" s="0" t="s">
        <v>8</v>
      </c>
      <c r="F15" s="0" t="str">
        <f aca="false">CONCATENATE("(",A15,",",B15,C15,D15,",",E15,"),")</f>
        <v>(14,“Aprovação ETP E TR“,true),</v>
      </c>
    </row>
    <row r="16" customFormat="false" ht="12.8" hidden="false" customHeight="false" outlineLevel="0" collapsed="false">
      <c r="A16" s="0" t="n">
        <f aca="false">1+A15</f>
        <v>15</v>
      </c>
      <c r="B16" s="0" t="s">
        <v>6</v>
      </c>
      <c r="C16" s="0" t="s">
        <v>22</v>
      </c>
      <c r="D16" s="0" t="s">
        <v>6</v>
      </c>
      <c r="E16" s="0" t="s">
        <v>8</v>
      </c>
      <c r="F16" s="0" t="str">
        <f aca="false">CONCATENATE("(",A16,",",B16,C16,D16,",",E16,"),")</f>
        <v>(15,“Relatório Pesquisa De Preços – RPP“,true),</v>
      </c>
    </row>
    <row r="17" customFormat="false" ht="12.8" hidden="false" customHeight="false" outlineLevel="0" collapsed="false">
      <c r="A17" s="0" t="n">
        <f aca="false">1+A16</f>
        <v>16</v>
      </c>
      <c r="B17" s="0" t="s">
        <v>6</v>
      </c>
      <c r="C17" s="0" t="s">
        <v>23</v>
      </c>
      <c r="D17" s="0" t="s">
        <v>6</v>
      </c>
      <c r="E17" s="0" t="s">
        <v>8</v>
      </c>
      <c r="F17" s="0" t="str">
        <f aca="false">CONCATENATE("(",A17,",",B17,C17,D17,",",E17,"),")</f>
        <v>(16,“Pesquisas De Preços – PP“,true),</v>
      </c>
    </row>
    <row r="18" customFormat="false" ht="12.8" hidden="false" customHeight="false" outlineLevel="0" collapsed="false">
      <c r="A18" s="0" t="n">
        <f aca="false">1+A17</f>
        <v>17</v>
      </c>
      <c r="B18" s="0" t="s">
        <v>6</v>
      </c>
      <c r="C18" s="0" t="s">
        <v>24</v>
      </c>
      <c r="D18" s="0" t="s">
        <v>6</v>
      </c>
      <c r="E18" s="0" t="s">
        <v>8</v>
      </c>
      <c r="F18" s="0" t="str">
        <f aca="false">CONCATENATE("(",A18,",",B18,C18,D18,",",E18,"),")</f>
        <v>(17,“Mapa Comparativo De Preços – MCP“,true),</v>
      </c>
    </row>
    <row r="19" customFormat="false" ht="12.8" hidden="false" customHeight="false" outlineLevel="0" collapsed="false">
      <c r="A19" s="0" t="n">
        <f aca="false">1+A18</f>
        <v>18</v>
      </c>
      <c r="B19" s="0" t="s">
        <v>6</v>
      </c>
      <c r="C19" s="0" t="s">
        <v>25</v>
      </c>
      <c r="D19" s="0" t="s">
        <v>6</v>
      </c>
      <c r="E19" s="0" t="s">
        <v>8</v>
      </c>
      <c r="F19" s="0" t="str">
        <f aca="false">CONCATENATE("(",A19,",",B19,C19,D19,",",E19,"),")</f>
        <v>(18,“Quadro IRP“,true),</v>
      </c>
    </row>
    <row r="20" customFormat="false" ht="12.8" hidden="false" customHeight="false" outlineLevel="0" collapsed="false">
      <c r="A20" s="0" t="n">
        <f aca="false">1+A19</f>
        <v>19</v>
      </c>
      <c r="B20" s="0" t="s">
        <v>6</v>
      </c>
      <c r="C20" s="0" t="s">
        <v>26</v>
      </c>
      <c r="D20" s="0" t="s">
        <v>6</v>
      </c>
      <c r="E20" s="0" t="s">
        <v>8</v>
      </c>
      <c r="F20" s="0" t="str">
        <f aca="false">CONCATENATE("(",A20,",",B20,C20,D20,",",E20,"),")</f>
        <v>(19,“Aviso de Abertura de IRP À 5ª CGCFEx“,true),</v>
      </c>
    </row>
    <row r="21" customFormat="false" ht="12.8" hidden="false" customHeight="false" outlineLevel="0" collapsed="false">
      <c r="A21" s="0" t="n">
        <f aca="false">1+A20</f>
        <v>20</v>
      </c>
      <c r="B21" s="0" t="s">
        <v>6</v>
      </c>
      <c r="C21" s="0" t="s">
        <v>27</v>
      </c>
      <c r="D21" s="0" t="s">
        <v>6</v>
      </c>
      <c r="E21" s="0" t="s">
        <v>8</v>
      </c>
      <c r="F21" s="0" t="str">
        <f aca="false">CONCATENATE("(",A21,",",B21,C21,D21,",",E21,"),")</f>
        <v>(20,“Minuta Do Edital“,true),</v>
      </c>
    </row>
    <row r="22" customFormat="false" ht="12.8" hidden="false" customHeight="false" outlineLevel="0" collapsed="false">
      <c r="A22" s="0" t="n">
        <f aca="false">1+A21</f>
        <v>21</v>
      </c>
      <c r="B22" s="0" t="s">
        <v>6</v>
      </c>
      <c r="C22" s="0" t="s">
        <v>28</v>
      </c>
      <c r="D22" s="0" t="s">
        <v>6</v>
      </c>
      <c r="E22" s="0" t="s">
        <v>8</v>
      </c>
      <c r="F22" s="0" t="str">
        <f aca="false">CONCATENATE("(",A22,",",B22,C22,D22,",",E22,"),")</f>
        <v>(21,“Minuta Do Termo De Referência – TR Da SALC“,true),</v>
      </c>
    </row>
    <row r="23" customFormat="false" ht="12.8" hidden="false" customHeight="false" outlineLevel="0" collapsed="false">
      <c r="A23" s="0" t="n">
        <f aca="false">1+A22</f>
        <v>22</v>
      </c>
      <c r="B23" s="0" t="s">
        <v>6</v>
      </c>
      <c r="C23" s="0" t="s">
        <v>29</v>
      </c>
      <c r="D23" s="0" t="s">
        <v>6</v>
      </c>
      <c r="E23" s="0" t="s">
        <v>8</v>
      </c>
      <c r="F23" s="0" t="str">
        <f aca="false">CONCATENATE("(",A23,",",B23,C23,D23,",",E23,"),")</f>
        <v>(22,“Minuta Da ARP“,true),</v>
      </c>
    </row>
    <row r="24" customFormat="false" ht="12.8" hidden="false" customHeight="false" outlineLevel="0" collapsed="false">
      <c r="A24" s="0" t="n">
        <f aca="false">1+A23</f>
        <v>23</v>
      </c>
      <c r="B24" s="0" t="s">
        <v>6</v>
      </c>
      <c r="C24" s="0" t="s">
        <v>30</v>
      </c>
      <c r="D24" s="0" t="s">
        <v>6</v>
      </c>
      <c r="E24" s="0" t="s">
        <v>8</v>
      </c>
      <c r="F24" s="0" t="str">
        <f aca="false">CONCATENATE("(",A24,",",B24,C24,D24,",",E24,"),")</f>
        <v>(23,“Minuta De Contrato“,true),</v>
      </c>
    </row>
    <row r="25" customFormat="false" ht="12.8" hidden="false" customHeight="false" outlineLevel="0" collapsed="false">
      <c r="A25" s="0" t="n">
        <f aca="false">1+A24</f>
        <v>24</v>
      </c>
      <c r="B25" s="0" t="s">
        <v>6</v>
      </c>
      <c r="C25" s="0" t="s">
        <v>31</v>
      </c>
      <c r="D25" s="0" t="s">
        <v>6</v>
      </c>
      <c r="E25" s="0" t="s">
        <v>8</v>
      </c>
      <c r="F25" s="0" t="str">
        <f aca="false">CONCATENATE("(",A25,",",B25,C25,D25,",",E25,"),")</f>
        <v>(24,“Declaração Inexistência De Atas“,true),</v>
      </c>
    </row>
    <row r="26" customFormat="false" ht="12.8" hidden="false" customHeight="false" outlineLevel="0" collapsed="false">
      <c r="A26" s="0" t="n">
        <f aca="false">1+A25</f>
        <v>25</v>
      </c>
      <c r="B26" s="0" t="s">
        <v>6</v>
      </c>
      <c r="C26" s="0" t="s">
        <v>32</v>
      </c>
      <c r="D26" s="0" t="s">
        <v>6</v>
      </c>
      <c r="E26" s="0" t="s">
        <v>8</v>
      </c>
      <c r="F26" s="0" t="str">
        <f aca="false">CONCATENATE("(",A26,",",B26,C26,D26,",",E26,"),")</f>
        <v>(25,“Declaração De Natureza Do Objeto“,true),</v>
      </c>
    </row>
    <row r="27" customFormat="false" ht="12.8" hidden="false" customHeight="false" outlineLevel="0" collapsed="false">
      <c r="A27" s="0" t="n">
        <f aca="false">1+A26</f>
        <v>26</v>
      </c>
      <c r="B27" s="0" t="s">
        <v>6</v>
      </c>
      <c r="C27" s="0" t="s">
        <v>33</v>
      </c>
      <c r="D27" s="0" t="s">
        <v>6</v>
      </c>
      <c r="E27" s="0" t="s">
        <v>8</v>
      </c>
      <c r="F27" s="0" t="str">
        <f aca="false">CONCATENATE("(",A27,",",B27,C27,D27,",",E27,"),")</f>
        <v>(26,“Declaração De Atividade De Custeio“,true),</v>
      </c>
    </row>
    <row r="28" customFormat="false" ht="12.8" hidden="false" customHeight="false" outlineLevel="0" collapsed="false">
      <c r="A28" s="0" t="n">
        <f aca="false">1+A27</f>
        <v>27</v>
      </c>
      <c r="B28" s="0" t="s">
        <v>6</v>
      </c>
      <c r="C28" s="0" t="s">
        <v>34</v>
      </c>
      <c r="D28" s="0" t="s">
        <v>6</v>
      </c>
      <c r="E28" s="0" t="s">
        <v>8</v>
      </c>
      <c r="F28" s="0" t="str">
        <f aca="false">CONCATENATE("(",A28,",",B28,C28,D28,",",E28,"),")</f>
        <v>(27,“Declaração De Adequação Orçamentária“,true),</v>
      </c>
    </row>
    <row r="29" customFormat="false" ht="12.8" hidden="false" customHeight="false" outlineLevel="0" collapsed="false">
      <c r="A29" s="0" t="n">
        <f aca="false">1+A28</f>
        <v>28</v>
      </c>
      <c r="B29" s="0" t="s">
        <v>6</v>
      </c>
      <c r="C29" s="0" t="s">
        <v>35</v>
      </c>
      <c r="D29" s="0" t="s">
        <v>6</v>
      </c>
      <c r="E29" s="0" t="s">
        <v>8</v>
      </c>
      <c r="F29" s="0" t="str">
        <f aca="false">CONCATENATE("(",A29,",",B29,C29,D29,",",E29,"),")</f>
        <v>(28,“Justificativa De PE SRP“,true),</v>
      </c>
    </row>
    <row r="30" customFormat="false" ht="12.8" hidden="false" customHeight="false" outlineLevel="0" collapsed="false">
      <c r="A30" s="0" t="n">
        <f aca="false">1+A29</f>
        <v>29</v>
      </c>
      <c r="B30" s="0" t="s">
        <v>6</v>
      </c>
      <c r="C30" s="0" t="s">
        <v>36</v>
      </c>
      <c r="D30" s="0" t="s">
        <v>6</v>
      </c>
      <c r="E30" s="0" t="s">
        <v>8</v>
      </c>
      <c r="F30" s="0" t="str">
        <f aca="false">CONCATENATE("(",A30,",",B30,C30,D30,",",E30,"),")</f>
        <v>(29,“Justificativa Para Alterações Das Minutas“,true),</v>
      </c>
    </row>
    <row r="31" customFormat="false" ht="12.8" hidden="false" customHeight="false" outlineLevel="0" collapsed="false">
      <c r="A31" s="0" t="n">
        <f aca="false">1+A30</f>
        <v>30</v>
      </c>
      <c r="B31" s="0" t="s">
        <v>6</v>
      </c>
      <c r="C31" s="0" t="s">
        <v>37</v>
      </c>
      <c r="D31" s="0" t="s">
        <v>6</v>
      </c>
      <c r="E31" s="0" t="s">
        <v>8</v>
      </c>
      <c r="F31" s="0" t="str">
        <f aca="false">CONCATENATE("(",A31,",",B31,C31,D31,",",E31,"),")</f>
        <v>(30,“Justificativa de não exclusividade para ME/EPP“,true),</v>
      </c>
    </row>
    <row r="32" customFormat="false" ht="12.8" hidden="false" customHeight="false" outlineLevel="0" collapsed="false">
      <c r="A32" s="0" t="n">
        <f aca="false">1+A31</f>
        <v>31</v>
      </c>
      <c r="B32" s="0" t="s">
        <v>6</v>
      </c>
      <c r="C32" s="0" t="s">
        <v>38</v>
      </c>
      <c r="D32" s="0" t="s">
        <v>6</v>
      </c>
      <c r="E32" s="0" t="s">
        <v>8</v>
      </c>
      <c r="F32" s="0" t="str">
        <f aca="false">CONCATENATE("(",A32,",",B32,C32,D32,",",E32,"),")</f>
        <v>(31,“Lista De Verificação - Anexo I Da SEGE“,true),</v>
      </c>
    </row>
    <row r="33" customFormat="false" ht="12.8" hidden="false" customHeight="false" outlineLevel="0" collapsed="false">
      <c r="A33" s="0" t="n">
        <f aca="false">1+A32</f>
        <v>32</v>
      </c>
      <c r="B33" s="0" t="s">
        <v>6</v>
      </c>
      <c r="C33" s="0" t="s">
        <v>39</v>
      </c>
      <c r="D33" s="0" t="s">
        <v>6</v>
      </c>
      <c r="E33" s="0" t="s">
        <v>8</v>
      </c>
      <c r="F33" s="0" t="str">
        <f aca="false">CONCATENATE("(",A33,",",B33,C33,D33,",",E33,"),")</f>
        <v>(32,“Lista De Verificação - Anexo II Da SEGE“,true),</v>
      </c>
    </row>
    <row r="34" customFormat="false" ht="12.8" hidden="false" customHeight="false" outlineLevel="0" collapsed="false">
      <c r="A34" s="0" t="n">
        <f aca="false">1+A33</f>
        <v>33</v>
      </c>
      <c r="B34" s="0" t="s">
        <v>6</v>
      </c>
      <c r="C34" s="0" t="s">
        <v>40</v>
      </c>
      <c r="D34" s="0" t="s">
        <v>6</v>
      </c>
      <c r="E34" s="0" t="s">
        <v>8</v>
      </c>
      <c r="F34" s="0" t="str">
        <f aca="false">CONCATENATE("(",A34,",",B34,C34,D34,",",E34,"),")</f>
        <v>(33,“Ofício Para CJU Analisar Processo“,true),</v>
      </c>
    </row>
    <row r="35" customFormat="false" ht="12.8" hidden="false" customHeight="false" outlineLevel="0" collapsed="false">
      <c r="A35" s="0" t="n">
        <f aca="false">1+A34</f>
        <v>34</v>
      </c>
      <c r="B35" s="0" t="s">
        <v>6</v>
      </c>
      <c r="C35" s="0" t="s">
        <v>41</v>
      </c>
      <c r="D35" s="0" t="s">
        <v>6</v>
      </c>
      <c r="E35" s="0" t="s">
        <v>8</v>
      </c>
      <c r="F35" s="0" t="str">
        <f aca="false">CONCATENATE("(",A35,",",B35,C35,D35,",",E35,"),")</f>
        <v>(34,“Ofício De Remessa Da CJU“,true),</v>
      </c>
    </row>
    <row r="36" customFormat="false" ht="12.8" hidden="false" customHeight="false" outlineLevel="0" collapsed="false">
      <c r="A36" s="0" t="n">
        <f aca="false">1+A35</f>
        <v>35</v>
      </c>
      <c r="B36" s="0" t="s">
        <v>6</v>
      </c>
      <c r="C36" s="0" t="s">
        <v>42</v>
      </c>
      <c r="D36" s="0" t="s">
        <v>6</v>
      </c>
      <c r="E36" s="0" t="s">
        <v>8</v>
      </c>
      <c r="F36" s="0" t="str">
        <f aca="false">CONCATENATE("(",A36,",",B36,C36,D36,",",E36,"),")</f>
        <v>(35,“Parecer Da CJU“,true),</v>
      </c>
    </row>
    <row r="37" customFormat="false" ht="12.8" hidden="false" customHeight="false" outlineLevel="0" collapsed="false">
      <c r="A37" s="0" t="n">
        <f aca="false">1+A36</f>
        <v>36</v>
      </c>
      <c r="B37" s="0" t="s">
        <v>6</v>
      </c>
      <c r="C37" s="0" t="s">
        <v>43</v>
      </c>
      <c r="D37" s="0" t="s">
        <v>6</v>
      </c>
      <c r="E37" s="0" t="s">
        <v>8</v>
      </c>
      <c r="F37" s="0" t="str">
        <f aca="false">CONCATENATE("(",A37,",",B37,C37,D37,",",E37,"),")</f>
        <v>(36,“Pedidos de impugnação“,true),</v>
      </c>
    </row>
    <row r="38" customFormat="false" ht="12.8" hidden="false" customHeight="false" outlineLevel="0" collapsed="false">
      <c r="A38" s="0" t="n">
        <f aca="false">1+A37</f>
        <v>37</v>
      </c>
      <c r="B38" s="0" t="s">
        <v>6</v>
      </c>
      <c r="C38" s="0" t="s">
        <v>44</v>
      </c>
      <c r="D38" s="0" t="s">
        <v>6</v>
      </c>
      <c r="E38" s="0" t="s">
        <v>8</v>
      </c>
      <c r="F38" s="0" t="str">
        <f aca="false">CONCATENATE("(",A38,",",B38,C38,D38,",",E38,"),")</f>
        <v>(37,“Decisão sobre pedidos de impugnação“,true),</v>
      </c>
    </row>
    <row r="39" customFormat="false" ht="12.8" hidden="false" customHeight="false" outlineLevel="0" collapsed="false">
      <c r="A39" s="0" t="n">
        <f aca="false">1+A38</f>
        <v>38</v>
      </c>
      <c r="B39" s="0" t="s">
        <v>6</v>
      </c>
      <c r="C39" s="0" t="s">
        <v>45</v>
      </c>
      <c r="D39" s="0" t="s">
        <v>6</v>
      </c>
      <c r="E39" s="0" t="s">
        <v>8</v>
      </c>
      <c r="F39" s="0" t="str">
        <f aca="false">CONCATENATE("(",A39,",",B39,C39,D39,",",E39,"),")</f>
        <v>(38,“Pedidos de esclarecimentos“,true),</v>
      </c>
    </row>
    <row r="40" customFormat="false" ht="12.8" hidden="false" customHeight="false" outlineLevel="0" collapsed="false">
      <c r="A40" s="0" t="n">
        <f aca="false">1+A39</f>
        <v>39</v>
      </c>
      <c r="B40" s="0" t="s">
        <v>6</v>
      </c>
      <c r="C40" s="0" t="s">
        <v>46</v>
      </c>
      <c r="D40" s="0" t="s">
        <v>6</v>
      </c>
      <c r="E40" s="0" t="s">
        <v>8</v>
      </c>
      <c r="F40" s="0" t="str">
        <f aca="false">CONCATENATE("(",A40,",",B40,C40,D40,",",E40,"),")</f>
        <v>(39,“Esclarecimentos publicado“,true),</v>
      </c>
    </row>
    <row r="41" customFormat="false" ht="12.8" hidden="false" customHeight="false" outlineLevel="0" collapsed="false">
      <c r="A41" s="0" t="n">
        <f aca="false">1+A40</f>
        <v>40</v>
      </c>
      <c r="B41" s="0" t="s">
        <v>6</v>
      </c>
      <c r="C41" s="0" t="s">
        <v>47</v>
      </c>
      <c r="D41" s="0" t="s">
        <v>6</v>
      </c>
      <c r="E41" s="0" t="s">
        <v>8</v>
      </c>
      <c r="F41" s="0" t="str">
        <f aca="false">CONCATENATE("(",A41,",",B41,C41,D41,",",E41,"),")</f>
        <v>(40,“Edital Revisado“,true),</v>
      </c>
    </row>
    <row r="42" customFormat="false" ht="12.8" hidden="false" customHeight="false" outlineLevel="0" collapsed="false">
      <c r="A42" s="0" t="n">
        <f aca="false">1+A41</f>
        <v>41</v>
      </c>
      <c r="B42" s="0" t="s">
        <v>6</v>
      </c>
      <c r="C42" s="0" t="s">
        <v>48</v>
      </c>
      <c r="D42" s="0" t="s">
        <v>6</v>
      </c>
      <c r="E42" s="0" t="s">
        <v>8</v>
      </c>
      <c r="F42" s="0" t="str">
        <f aca="false">CONCATENATE("(",A42,",",B42,C42,D42,",",E42,"),")</f>
        <v>(41,“TR Revisado“,true),</v>
      </c>
    </row>
    <row r="43" customFormat="false" ht="12.8" hidden="false" customHeight="false" outlineLevel="0" collapsed="false">
      <c r="A43" s="0" t="n">
        <f aca="false">1+A42</f>
        <v>42</v>
      </c>
      <c r="B43" s="0" t="s">
        <v>6</v>
      </c>
      <c r="C43" s="0" t="s">
        <v>49</v>
      </c>
      <c r="D43" s="0" t="s">
        <v>6</v>
      </c>
      <c r="E43" s="0" t="s">
        <v>8</v>
      </c>
      <c r="F43" s="0" t="str">
        <f aca="false">CONCATENATE("(",A43,",",B43,C43,D43,",",E43,"),")</f>
        <v>(42,“Minuta ARP Revisado“,true),</v>
      </c>
    </row>
    <row r="44" customFormat="false" ht="12.8" hidden="false" customHeight="false" outlineLevel="0" collapsed="false">
      <c r="A44" s="0" t="n">
        <f aca="false">1+A43</f>
        <v>43</v>
      </c>
      <c r="B44" s="0" t="s">
        <v>6</v>
      </c>
      <c r="C44" s="0" t="s">
        <v>50</v>
      </c>
      <c r="D44" s="0" t="s">
        <v>6</v>
      </c>
      <c r="E44" s="0" t="s">
        <v>8</v>
      </c>
      <c r="F44" s="0" t="str">
        <f aca="false">CONCATENATE("(",A44,",",B44,C44,D44,",",E44,"),")</f>
        <v>(43,“Minuta Contrato Revisado“,true),</v>
      </c>
    </row>
    <row r="45" customFormat="false" ht="12.8" hidden="false" customHeight="false" outlineLevel="0" collapsed="false">
      <c r="A45" s="0" t="n">
        <f aca="false">1+A44</f>
        <v>44</v>
      </c>
      <c r="B45" s="0" t="s">
        <v>6</v>
      </c>
      <c r="C45" s="0" t="s">
        <v>51</v>
      </c>
      <c r="D45" s="0" t="s">
        <v>6</v>
      </c>
      <c r="E45" s="0" t="s">
        <v>8</v>
      </c>
      <c r="F45" s="0" t="str">
        <f aca="false">CONCATENATE("(",A45,",",B45,C45,D45,",",E45,"),")</f>
        <v>(44,“Aviso(s) de publicação(ões) no DOU“,true),</v>
      </c>
    </row>
    <row r="46" customFormat="false" ht="12.8" hidden="false" customHeight="false" outlineLevel="0" collapsed="false">
      <c r="A46" s="0" t="n">
        <f aca="false">1+A45</f>
        <v>45</v>
      </c>
      <c r="B46" s="0" t="s">
        <v>6</v>
      </c>
      <c r="C46" s="0" t="s">
        <v>52</v>
      </c>
      <c r="D46" s="0" t="s">
        <v>6</v>
      </c>
      <c r="E46" s="0" t="s">
        <v>8</v>
      </c>
      <c r="F46" s="0" t="str">
        <f aca="false">CONCATENATE("(",A46,",",B46,C46,D46,",",E46,"),")</f>
        <v>(45,“ARP Assinada“,true),</v>
      </c>
    </row>
    <row r="47" customFormat="false" ht="12.8" hidden="false" customHeight="false" outlineLevel="0" collapsed="false">
      <c r="A47" s="0" t="n">
        <f aca="false">1+A46</f>
        <v>46</v>
      </c>
      <c r="B47" s="0" t="s">
        <v>6</v>
      </c>
      <c r="C47" s="0" t="s">
        <v>53</v>
      </c>
      <c r="D47" s="0" t="s">
        <v>6</v>
      </c>
      <c r="E47" s="0" t="s">
        <v>8</v>
      </c>
      <c r="F47" s="0" t="str">
        <f aca="false">CONCATENATE("(",A47,",",B47,C47,D47,",",E47,"),")</f>
        <v>(46,“Contrato assinado“,true),</v>
      </c>
    </row>
    <row r="48" customFormat="false" ht="12.8" hidden="false" customHeight="false" outlineLevel="0" collapsed="false">
      <c r="A48" s="0" t="n">
        <f aca="false">1+A47</f>
        <v>47</v>
      </c>
      <c r="B48" s="0" t="s">
        <v>6</v>
      </c>
      <c r="C48" s="0" t="s">
        <v>54</v>
      </c>
      <c r="D48" s="0" t="s">
        <v>6</v>
      </c>
      <c r="E48" s="0" t="s">
        <v>8</v>
      </c>
      <c r="F48" s="0" t="str">
        <f aca="false">CONCATENATE("(",A48,",",B48,C48,D48,",",E48,");")</f>
        <v>(47,“Termo De Encerramento“,true);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42" activeCellId="0" sqref="F42"/>
    </sheetView>
  </sheetViews>
  <sheetFormatPr defaultColWidth="11.53515625" defaultRowHeight="12.8" zeroHeight="false" outlineLevelRow="0" outlineLevelCol="0"/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0" activeCellId="0" sqref="C20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4.17"/>
    <col collapsed="false" customWidth="true" hidden="false" outlineLevel="0" max="3" min="3" style="0" width="41.21"/>
    <col collapsed="false" customWidth="true" hidden="false" outlineLevel="0" max="4" min="4" style="0" width="3.2"/>
    <col collapsed="false" customWidth="true" hidden="false" outlineLevel="0" max="6" min="6" style="0" width="49.41"/>
  </cols>
  <sheetData>
    <row r="1" customFormat="false" ht="12.8" hidden="false" customHeight="false" outlineLevel="0" collapsed="false">
      <c r="A1" s="1" t="s">
        <v>3</v>
      </c>
      <c r="B1" s="1"/>
      <c r="C1" s="1" t="s">
        <v>4</v>
      </c>
      <c r="D1" s="1"/>
      <c r="E1" s="1" t="s">
        <v>5</v>
      </c>
      <c r="F1" s="1"/>
    </row>
    <row r="2" customFormat="false" ht="12.8" hidden="false" customHeight="false" outlineLevel="0" collapsed="false">
      <c r="A2" s="1" t="n">
        <v>1</v>
      </c>
      <c r="B2" s="1" t="s">
        <v>6</v>
      </c>
      <c r="C2" s="1" t="s">
        <v>7</v>
      </c>
      <c r="D2" s="1" t="s">
        <v>6</v>
      </c>
      <c r="E2" s="1" t="s">
        <v>8</v>
      </c>
      <c r="F2" s="1" t="str">
        <f aca="false">CONCATENATE("(",A2,",",B2,C2,D2,",",E2,"),")</f>
        <v>(1,“Capa“,true),</v>
      </c>
    </row>
    <row r="3" customFormat="false" ht="12.8" hidden="false" customHeight="false" outlineLevel="0" collapsed="false">
      <c r="A3" s="1" t="n">
        <f aca="false">1+A2</f>
        <v>2</v>
      </c>
      <c r="B3" s="1" t="s">
        <v>6</v>
      </c>
      <c r="C3" s="1" t="s">
        <v>9</v>
      </c>
      <c r="D3" s="1" t="s">
        <v>6</v>
      </c>
      <c r="E3" s="1" t="s">
        <v>8</v>
      </c>
      <c r="F3" s="1" t="str">
        <f aca="false">CONCATENATE("(",A3,",",B3,C3,D3,",",E3,"),")</f>
        <v>(2,“Índice“,true),</v>
      </c>
    </row>
    <row r="4" customFormat="false" ht="12.8" hidden="false" customHeight="false" outlineLevel="0" collapsed="false">
      <c r="A4" s="1" t="n">
        <f aca="false">1+A3</f>
        <v>3</v>
      </c>
      <c r="B4" s="1" t="s">
        <v>6</v>
      </c>
      <c r="C4" s="1" t="s">
        <v>10</v>
      </c>
      <c r="D4" s="1" t="s">
        <v>6</v>
      </c>
      <c r="E4" s="1" t="s">
        <v>8</v>
      </c>
      <c r="F4" s="1" t="str">
        <f aca="false">CONCATENATE("(",A4,",",B4,C4,D4,",",E4,"),")</f>
        <v>(3,“Termo De Autuação“,true),</v>
      </c>
    </row>
    <row r="5" customFormat="false" ht="12.8" hidden="false" customHeight="false" outlineLevel="0" collapsed="false">
      <c r="A5" s="1" t="n">
        <f aca="false">1+A4</f>
        <v>4</v>
      </c>
      <c r="B5" s="1" t="s">
        <v>6</v>
      </c>
      <c r="C5" s="1" t="s">
        <v>11</v>
      </c>
      <c r="D5" s="1" t="s">
        <v>6</v>
      </c>
      <c r="E5" s="1" t="s">
        <v>8</v>
      </c>
      <c r="F5" s="1" t="str">
        <f aca="false">CONCATENATE("(",A5,",",B5,C5,D5,",",E5,"),")</f>
        <v>(4,“Nomeação Do Cmt Da Unidade“,true),</v>
      </c>
    </row>
    <row r="6" customFormat="false" ht="12.8" hidden="false" customHeight="false" outlineLevel="0" collapsed="false">
      <c r="A6" s="1" t="n">
        <f aca="false">1+A5</f>
        <v>5</v>
      </c>
      <c r="B6" s="1" t="s">
        <v>6</v>
      </c>
      <c r="C6" s="1" t="s">
        <v>12</v>
      </c>
      <c r="D6" s="1" t="s">
        <v>6</v>
      </c>
      <c r="E6" s="1" t="s">
        <v>8</v>
      </c>
      <c r="F6" s="1" t="str">
        <f aca="false">CONCATENATE("(",A6,",",B6,C6,D6,",",E6,"),")</f>
        <v>(5,“Nomeação Da Equipe Da Contratação“,true),</v>
      </c>
    </row>
    <row r="7" customFormat="false" ht="12.8" hidden="false" customHeight="false" outlineLevel="0" collapsed="false">
      <c r="A7" s="1" t="n">
        <f aca="false">1+A6</f>
        <v>6</v>
      </c>
      <c r="B7" s="1" t="s">
        <v>6</v>
      </c>
      <c r="C7" s="1" t="s">
        <v>13</v>
      </c>
      <c r="D7" s="1" t="s">
        <v>6</v>
      </c>
      <c r="E7" s="1" t="s">
        <v>8</v>
      </c>
      <c r="F7" s="1" t="str">
        <f aca="false">CONCATENATE("(",A7,",",B7,C7,D7,",",E7,"),")</f>
        <v>(6,“Nomeação De Pregoeiro Equipe De Apoio“,true),</v>
      </c>
    </row>
    <row r="8" customFormat="false" ht="12.8" hidden="false" customHeight="false" outlineLevel="0" collapsed="false">
      <c r="A8" s="1" t="n">
        <f aca="false">1+A7</f>
        <v>7</v>
      </c>
      <c r="B8" s="1" t="s">
        <v>6</v>
      </c>
      <c r="C8" s="1" t="s">
        <v>14</v>
      </c>
      <c r="D8" s="1" t="s">
        <v>6</v>
      </c>
      <c r="E8" s="1" t="s">
        <v>8</v>
      </c>
      <c r="F8" s="1" t="str">
        <f aca="false">CONCATENATE("(",A8,",",B8,C8,D8,",",E8,"),")</f>
        <v>(7,“Certificado Do Pregoeiro“,true),</v>
      </c>
    </row>
    <row r="9" customFormat="false" ht="12.8" hidden="false" customHeight="false" outlineLevel="0" collapsed="false">
      <c r="A9" s="1" t="n">
        <f aca="false">1+A8</f>
        <v>8</v>
      </c>
      <c r="B9" s="1" t="s">
        <v>6</v>
      </c>
      <c r="C9" s="1" t="s">
        <v>15</v>
      </c>
      <c r="D9" s="1" t="s">
        <v>6</v>
      </c>
      <c r="E9" s="1" t="s">
        <v>8</v>
      </c>
      <c r="F9" s="1" t="str">
        <f aca="false">CONCATENATE("(",A9,",",B9,C9,D9,",",E9,"),")</f>
        <v>(8,“Documento De Formalização Da Demanda - DFD“,true),</v>
      </c>
    </row>
    <row r="10" customFormat="false" ht="12.8" hidden="false" customHeight="false" outlineLevel="0" collapsed="false">
      <c r="A10" s="1" t="n">
        <f aca="false">1+A9</f>
        <v>9</v>
      </c>
      <c r="B10" s="1" t="s">
        <v>6</v>
      </c>
      <c r="C10" s="1" t="s">
        <v>16</v>
      </c>
      <c r="D10" s="1" t="s">
        <v>6</v>
      </c>
      <c r="E10" s="1" t="s">
        <v>8</v>
      </c>
      <c r="F10" s="1" t="str">
        <f aca="false">CONCATENATE("(",A10,",",B10,C10,D10,",",E10,"),")</f>
        <v>(9,“Relação De Itens De Aquisição/ Serviço“,true),</v>
      </c>
    </row>
    <row r="11" customFormat="false" ht="12.8" hidden="false" customHeight="false" outlineLevel="0" collapsed="false">
      <c r="A11" s="1" t="n">
        <f aca="false">1+A10</f>
        <v>10</v>
      </c>
      <c r="B11" s="1" t="s">
        <v>6</v>
      </c>
      <c r="C11" s="1" t="s">
        <v>17</v>
      </c>
      <c r="D11" s="1" t="s">
        <v>6</v>
      </c>
      <c r="E11" s="1" t="s">
        <v>8</v>
      </c>
      <c r="F11" s="1" t="str">
        <f aca="false">CONCATENATE("(",A11,",",B11,C11,D11,",",E11,"),")</f>
        <v>(10,“Autorização P/ Abertura De Processo“,true),</v>
      </c>
    </row>
    <row r="12" customFormat="false" ht="12.8" hidden="false" customHeight="false" outlineLevel="0" collapsed="false">
      <c r="A12" s="1" t="n">
        <f aca="false">1+A11</f>
        <v>11</v>
      </c>
      <c r="B12" s="1" t="s">
        <v>6</v>
      </c>
      <c r="C12" s="1" t="s">
        <v>18</v>
      </c>
      <c r="D12" s="1" t="s">
        <v>6</v>
      </c>
      <c r="E12" s="1" t="s">
        <v>8</v>
      </c>
      <c r="F12" s="1" t="str">
        <f aca="false">CONCATENATE("(",A12,",",B12,C12,D12,",",E12,"),")</f>
        <v>(11,“ETP – Estudo Técnico Preliminar“,true),</v>
      </c>
    </row>
    <row r="13" customFormat="false" ht="12.8" hidden="false" customHeight="false" outlineLevel="0" collapsed="false">
      <c r="A13" s="1" t="n">
        <f aca="false">1+A12</f>
        <v>12</v>
      </c>
      <c r="B13" s="1" t="s">
        <v>6</v>
      </c>
      <c r="C13" s="1" t="s">
        <v>19</v>
      </c>
      <c r="D13" s="1" t="s">
        <v>6</v>
      </c>
      <c r="E13" s="1" t="s">
        <v>8</v>
      </c>
      <c r="F13" s="1" t="str">
        <f aca="false">CONCATENATE("(",A13,",",B13,C13,D13,",",E13,"),")</f>
        <v>(12,“MGR – Mapa De Gerenciamento De Riscos“,true),</v>
      </c>
    </row>
    <row r="14" customFormat="false" ht="12.8" hidden="false" customHeight="false" outlineLevel="0" collapsed="false">
      <c r="A14" s="1" t="n">
        <f aca="false">1+A13</f>
        <v>13</v>
      </c>
      <c r="B14" s="1" t="s">
        <v>6</v>
      </c>
      <c r="C14" s="1" t="s">
        <v>20</v>
      </c>
      <c r="D14" s="1" t="s">
        <v>6</v>
      </c>
      <c r="E14" s="1" t="s">
        <v>8</v>
      </c>
      <c r="F14" s="1" t="str">
        <f aca="false">CONCATENATE("(",A14,",",B14,C14,D14,",",E14,"),")</f>
        <v>(13,“Minuta TR Da Sç Demandante“,true),</v>
      </c>
    </row>
    <row r="15" customFormat="false" ht="12.8" hidden="false" customHeight="false" outlineLevel="0" collapsed="false">
      <c r="A15" s="1" t="n">
        <f aca="false">1+A14</f>
        <v>14</v>
      </c>
      <c r="B15" s="1" t="s">
        <v>6</v>
      </c>
      <c r="C15" s="1" t="s">
        <v>21</v>
      </c>
      <c r="D15" s="1" t="s">
        <v>6</v>
      </c>
      <c r="E15" s="1" t="s">
        <v>8</v>
      </c>
      <c r="F15" s="1" t="str">
        <f aca="false">CONCATENATE("(",A15,",",B15,C15,D15,",",E15,"),")</f>
        <v>(14,“Aprovação ETP E TR“,true),</v>
      </c>
    </row>
    <row r="16" customFormat="false" ht="12.8" hidden="false" customHeight="false" outlineLevel="0" collapsed="false">
      <c r="A16" s="1" t="n">
        <f aca="false">1+A15</f>
        <v>15</v>
      </c>
      <c r="B16" s="1" t="s">
        <v>6</v>
      </c>
      <c r="C16" s="1" t="s">
        <v>22</v>
      </c>
      <c r="D16" s="1" t="s">
        <v>6</v>
      </c>
      <c r="E16" s="1" t="s">
        <v>8</v>
      </c>
      <c r="F16" s="1" t="str">
        <f aca="false">CONCATENATE("(",A16,",",B16,C16,D16,",",E16,"),")</f>
        <v>(15,“Relatório Pesquisa De Preços – RPP“,true),</v>
      </c>
    </row>
    <row r="17" customFormat="false" ht="12.8" hidden="false" customHeight="false" outlineLevel="0" collapsed="false">
      <c r="A17" s="1" t="n">
        <f aca="false">1+A16</f>
        <v>16</v>
      </c>
      <c r="B17" s="1" t="s">
        <v>6</v>
      </c>
      <c r="C17" s="1" t="s">
        <v>23</v>
      </c>
      <c r="D17" s="1" t="s">
        <v>6</v>
      </c>
      <c r="E17" s="1" t="s">
        <v>8</v>
      </c>
      <c r="F17" s="1" t="str">
        <f aca="false">CONCATENATE("(",A17,",",B17,C17,D17,",",E17,"),")</f>
        <v>(16,“Pesquisas De Preços – PP“,true),</v>
      </c>
    </row>
    <row r="18" customFormat="false" ht="12.8" hidden="false" customHeight="false" outlineLevel="0" collapsed="false">
      <c r="A18" s="1" t="n">
        <f aca="false">1+A17</f>
        <v>17</v>
      </c>
      <c r="B18" s="1" t="s">
        <v>6</v>
      </c>
      <c r="C18" s="1" t="s">
        <v>24</v>
      </c>
      <c r="D18" s="1" t="s">
        <v>6</v>
      </c>
      <c r="E18" s="1" t="s">
        <v>8</v>
      </c>
      <c r="F18" s="1" t="str">
        <f aca="false">CONCATENATE("(",A18,",",B18,C18,D18,",",E18,"),")</f>
        <v>(17,“Mapa Comparativo De Preços – MCP“,true),</v>
      </c>
    </row>
    <row r="19" customFormat="false" ht="12.8" hidden="false" customHeight="false" outlineLevel="0" collapsed="false">
      <c r="A19" s="1" t="n">
        <f aca="false">1+A18</f>
        <v>18</v>
      </c>
      <c r="B19" s="1" t="s">
        <v>6</v>
      </c>
      <c r="C19" s="1" t="s">
        <v>25</v>
      </c>
      <c r="D19" s="1" t="s">
        <v>6</v>
      </c>
      <c r="E19" s="1" t="s">
        <v>8</v>
      </c>
      <c r="F19" s="1" t="str">
        <f aca="false">CONCATENATE("(",A19,",",B19,C19,D19,",",E19,"),")</f>
        <v>(18,“Quadro IRP“,true),</v>
      </c>
    </row>
    <row r="20" customFormat="false" ht="12.8" hidden="false" customHeight="false" outlineLevel="0" collapsed="false">
      <c r="A20" s="1" t="n">
        <f aca="false">1+A19</f>
        <v>19</v>
      </c>
      <c r="B20" s="1" t="s">
        <v>6</v>
      </c>
      <c r="C20" s="1" t="s">
        <v>26</v>
      </c>
      <c r="D20" s="1" t="s">
        <v>6</v>
      </c>
      <c r="E20" s="1" t="s">
        <v>8</v>
      </c>
      <c r="F20" s="1" t="str">
        <f aca="false">CONCATENATE("(",A20,",",B20,C20,D20,",",E20,"),")</f>
        <v>(19,“Aviso de Abertura de IRP À 5ª CGCFEx“,true),</v>
      </c>
    </row>
    <row r="21" customFormat="false" ht="12.8" hidden="false" customHeight="false" outlineLevel="0" collapsed="false">
      <c r="A21" s="1" t="n">
        <f aca="false">1+A20</f>
        <v>20</v>
      </c>
      <c r="B21" s="1" t="s">
        <v>6</v>
      </c>
      <c r="C21" s="1" t="s">
        <v>27</v>
      </c>
      <c r="D21" s="1" t="s">
        <v>6</v>
      </c>
      <c r="E21" s="1" t="s">
        <v>8</v>
      </c>
      <c r="F21" s="1" t="str">
        <f aca="false">CONCATENATE("(",A21,",",B21,C21,D21,",",E21,"),")</f>
        <v>(20,“Minuta Do Edital“,true),</v>
      </c>
    </row>
    <row r="22" customFormat="false" ht="12.8" hidden="false" customHeight="false" outlineLevel="0" collapsed="false">
      <c r="A22" s="1" t="n">
        <f aca="false">1+A21</f>
        <v>21</v>
      </c>
      <c r="B22" s="1" t="s">
        <v>6</v>
      </c>
      <c r="C22" s="1" t="s">
        <v>28</v>
      </c>
      <c r="D22" s="1" t="s">
        <v>6</v>
      </c>
      <c r="E22" s="1" t="s">
        <v>8</v>
      </c>
      <c r="F22" s="1" t="str">
        <f aca="false">CONCATENATE("(",A22,",",B22,C22,D22,",",E22,"),")</f>
        <v>(21,“Minuta Do Termo De Referência – TR Da SALC“,true),</v>
      </c>
    </row>
    <row r="23" customFormat="false" ht="12.8" hidden="false" customHeight="false" outlineLevel="0" collapsed="false">
      <c r="A23" s="1" t="n">
        <f aca="false">1+A22</f>
        <v>22</v>
      </c>
      <c r="B23" s="1" t="s">
        <v>6</v>
      </c>
      <c r="C23" s="1" t="s">
        <v>29</v>
      </c>
      <c r="D23" s="1" t="s">
        <v>6</v>
      </c>
      <c r="E23" s="1" t="s">
        <v>8</v>
      </c>
      <c r="F23" s="1" t="str">
        <f aca="false">CONCATENATE("(",A23,",",B23,C23,D23,",",E23,"),")</f>
        <v>(22,“Minuta Da ARP“,true),</v>
      </c>
    </row>
    <row r="24" customFormat="false" ht="12.8" hidden="false" customHeight="false" outlineLevel="0" collapsed="false">
      <c r="A24" s="1" t="n">
        <f aca="false">1+A23</f>
        <v>23</v>
      </c>
      <c r="B24" s="1" t="s">
        <v>6</v>
      </c>
      <c r="C24" s="1" t="s">
        <v>30</v>
      </c>
      <c r="D24" s="1" t="s">
        <v>6</v>
      </c>
      <c r="E24" s="1" t="s">
        <v>8</v>
      </c>
      <c r="F24" s="1" t="str">
        <f aca="false">CONCATENATE("(",A24,",",B24,C24,D24,",",E24,"),")</f>
        <v>(23,“Minuta De Contrato“,true),</v>
      </c>
    </row>
    <row r="25" customFormat="false" ht="12.8" hidden="false" customHeight="false" outlineLevel="0" collapsed="false">
      <c r="A25" s="1" t="n">
        <f aca="false">1+A24</f>
        <v>24</v>
      </c>
      <c r="B25" s="1" t="s">
        <v>6</v>
      </c>
      <c r="C25" s="1" t="s">
        <v>31</v>
      </c>
      <c r="D25" s="1" t="s">
        <v>6</v>
      </c>
      <c r="E25" s="1" t="s">
        <v>8</v>
      </c>
      <c r="F25" s="1" t="str">
        <f aca="false">CONCATENATE("(",A25,",",B25,C25,D25,",",E25,"),")</f>
        <v>(24,“Declaração Inexistência De Atas“,true),</v>
      </c>
    </row>
    <row r="26" customFormat="false" ht="12.8" hidden="false" customHeight="false" outlineLevel="0" collapsed="false">
      <c r="A26" s="1" t="n">
        <f aca="false">1+A25</f>
        <v>25</v>
      </c>
      <c r="B26" s="1" t="s">
        <v>6</v>
      </c>
      <c r="C26" s="1" t="s">
        <v>32</v>
      </c>
      <c r="D26" s="1" t="s">
        <v>6</v>
      </c>
      <c r="E26" s="1" t="s">
        <v>8</v>
      </c>
      <c r="F26" s="1" t="str">
        <f aca="false">CONCATENATE("(",A26,",",B26,C26,D26,",",E26,"),")</f>
        <v>(25,“Declaração De Natureza Do Objeto“,true),</v>
      </c>
    </row>
    <row r="27" customFormat="false" ht="12.8" hidden="false" customHeight="false" outlineLevel="0" collapsed="false">
      <c r="A27" s="1" t="n">
        <f aca="false">1+A26</f>
        <v>26</v>
      </c>
      <c r="B27" s="1" t="s">
        <v>6</v>
      </c>
      <c r="C27" s="1" t="s">
        <v>33</v>
      </c>
      <c r="D27" s="1" t="s">
        <v>6</v>
      </c>
      <c r="E27" s="1" t="s">
        <v>8</v>
      </c>
      <c r="F27" s="1" t="str">
        <f aca="false">CONCATENATE("(",A27,",",B27,C27,D27,",",E27,"),")</f>
        <v>(26,“Declaração De Atividade De Custeio“,true),</v>
      </c>
    </row>
    <row r="28" customFormat="false" ht="12.8" hidden="false" customHeight="false" outlineLevel="0" collapsed="false">
      <c r="A28" s="1" t="n">
        <f aca="false">1+A27</f>
        <v>27</v>
      </c>
      <c r="B28" s="1" t="s">
        <v>6</v>
      </c>
      <c r="C28" s="1" t="s">
        <v>34</v>
      </c>
      <c r="D28" s="1" t="s">
        <v>6</v>
      </c>
      <c r="E28" s="1" t="s">
        <v>8</v>
      </c>
      <c r="F28" s="1" t="str">
        <f aca="false">CONCATENATE("(",A28,",",B28,C28,D28,",",E28,"),")</f>
        <v>(27,“Declaração De Adequação Orçamentária“,true),</v>
      </c>
    </row>
    <row r="29" customFormat="false" ht="12.8" hidden="false" customHeight="false" outlineLevel="0" collapsed="false">
      <c r="A29" s="1" t="n">
        <f aca="false">1+A28</f>
        <v>28</v>
      </c>
      <c r="B29" s="1" t="s">
        <v>6</v>
      </c>
      <c r="C29" s="1" t="s">
        <v>35</v>
      </c>
      <c r="D29" s="1" t="s">
        <v>6</v>
      </c>
      <c r="E29" s="1" t="s">
        <v>8</v>
      </c>
      <c r="F29" s="1" t="str">
        <f aca="false">CONCATENATE("(",A29,",",B29,C29,D29,",",E29,"),")</f>
        <v>(28,“Justificativa De PE SRP“,true),</v>
      </c>
    </row>
    <row r="30" customFormat="false" ht="12.8" hidden="false" customHeight="false" outlineLevel="0" collapsed="false">
      <c r="A30" s="1" t="n">
        <f aca="false">1+A29</f>
        <v>29</v>
      </c>
      <c r="B30" s="1" t="s">
        <v>6</v>
      </c>
      <c r="C30" s="1" t="s">
        <v>36</v>
      </c>
      <c r="D30" s="1" t="s">
        <v>6</v>
      </c>
      <c r="E30" s="1" t="s">
        <v>8</v>
      </c>
      <c r="F30" s="1" t="str">
        <f aca="false">CONCATENATE("(",A30,",",B30,C30,D30,",",E30,"),")</f>
        <v>(29,“Justificativa Para Alterações Das Minutas“,true),</v>
      </c>
    </row>
    <row r="31" customFormat="false" ht="12.8" hidden="false" customHeight="false" outlineLevel="0" collapsed="false">
      <c r="A31" s="1" t="n">
        <f aca="false">1+A30</f>
        <v>30</v>
      </c>
      <c r="B31" s="1" t="s">
        <v>6</v>
      </c>
      <c r="C31" s="1" t="s">
        <v>37</v>
      </c>
      <c r="D31" s="1" t="s">
        <v>6</v>
      </c>
      <c r="E31" s="1" t="s">
        <v>8</v>
      </c>
      <c r="F31" s="1" t="str">
        <f aca="false">CONCATENATE("(",A31,",",B31,C31,D31,",",E31,"),")</f>
        <v>(30,“Justificativa de não exclusividade para ME/EPP“,true),</v>
      </c>
    </row>
    <row r="32" customFormat="false" ht="12.8" hidden="false" customHeight="false" outlineLevel="0" collapsed="false">
      <c r="A32" s="1" t="n">
        <f aca="false">1+A31</f>
        <v>31</v>
      </c>
      <c r="B32" s="1" t="s">
        <v>6</v>
      </c>
      <c r="C32" s="1" t="s">
        <v>38</v>
      </c>
      <c r="D32" s="1" t="s">
        <v>6</v>
      </c>
      <c r="E32" s="1" t="s">
        <v>8</v>
      </c>
      <c r="F32" s="1" t="str">
        <f aca="false">CONCATENATE("(",A32,",",B32,C32,D32,",",E32,"),")</f>
        <v>(31,“Lista De Verificação - Anexo I Da SEGE“,true),</v>
      </c>
    </row>
    <row r="33" customFormat="false" ht="12.8" hidden="false" customHeight="false" outlineLevel="0" collapsed="false">
      <c r="A33" s="1" t="n">
        <f aca="false">1+A32</f>
        <v>32</v>
      </c>
      <c r="B33" s="1" t="s">
        <v>6</v>
      </c>
      <c r="C33" s="1" t="s">
        <v>39</v>
      </c>
      <c r="D33" s="1" t="s">
        <v>6</v>
      </c>
      <c r="E33" s="1" t="s">
        <v>8</v>
      </c>
      <c r="F33" s="1" t="str">
        <f aca="false">CONCATENATE("(",A33,",",B33,C33,D33,",",E33,"),")</f>
        <v>(32,“Lista De Verificação - Anexo II Da SEGE“,true),</v>
      </c>
    </row>
    <row r="34" customFormat="false" ht="12.8" hidden="false" customHeight="false" outlineLevel="0" collapsed="false">
      <c r="A34" s="1" t="n">
        <f aca="false">1+A33</f>
        <v>33</v>
      </c>
      <c r="B34" s="1" t="s">
        <v>6</v>
      </c>
      <c r="C34" s="1" t="s">
        <v>40</v>
      </c>
      <c r="D34" s="1" t="s">
        <v>6</v>
      </c>
      <c r="E34" s="1" t="s">
        <v>8</v>
      </c>
      <c r="F34" s="1" t="str">
        <f aca="false">CONCATENATE("(",A34,",",B34,C34,D34,",",E34,"),")</f>
        <v>(33,“Ofício Para CJU Analisar Processo“,true),</v>
      </c>
    </row>
    <row r="35" customFormat="false" ht="12.8" hidden="false" customHeight="false" outlineLevel="0" collapsed="false">
      <c r="A35" s="1" t="n">
        <f aca="false">1+A34</f>
        <v>34</v>
      </c>
      <c r="B35" s="1" t="s">
        <v>6</v>
      </c>
      <c r="C35" s="1" t="s">
        <v>41</v>
      </c>
      <c r="D35" s="1" t="s">
        <v>6</v>
      </c>
      <c r="E35" s="1" t="s">
        <v>8</v>
      </c>
      <c r="F35" s="1" t="str">
        <f aca="false">CONCATENATE("(",A35,",",B35,C35,D35,",",E35,"),")</f>
        <v>(34,“Ofício De Remessa Da CJU“,true),</v>
      </c>
    </row>
    <row r="36" customFormat="false" ht="12.8" hidden="false" customHeight="false" outlineLevel="0" collapsed="false">
      <c r="A36" s="1" t="n">
        <f aca="false">1+A35</f>
        <v>35</v>
      </c>
      <c r="B36" s="1" t="s">
        <v>6</v>
      </c>
      <c r="C36" s="1" t="s">
        <v>42</v>
      </c>
      <c r="D36" s="1" t="s">
        <v>6</v>
      </c>
      <c r="E36" s="1" t="s">
        <v>8</v>
      </c>
      <c r="F36" s="1" t="str">
        <f aca="false">CONCATENATE("(",A36,",",B36,C36,D36,",",E36,"),")</f>
        <v>(35,“Parecer Da CJU“,true),</v>
      </c>
    </row>
    <row r="37" customFormat="false" ht="12.8" hidden="false" customHeight="false" outlineLevel="0" collapsed="false">
      <c r="A37" s="1" t="n">
        <f aca="false">1+A36</f>
        <v>36</v>
      </c>
      <c r="B37" s="1" t="s">
        <v>6</v>
      </c>
      <c r="C37" s="1" t="s">
        <v>43</v>
      </c>
      <c r="D37" s="1" t="s">
        <v>6</v>
      </c>
      <c r="E37" s="1" t="s">
        <v>8</v>
      </c>
      <c r="F37" s="1" t="str">
        <f aca="false">CONCATENATE("(",A37,",",B37,C37,D37,",",E37,"),")</f>
        <v>(36,“Pedidos de impugnação“,true),</v>
      </c>
    </row>
    <row r="38" customFormat="false" ht="12.8" hidden="false" customHeight="false" outlineLevel="0" collapsed="false">
      <c r="A38" s="1" t="n">
        <f aca="false">1+A37</f>
        <v>37</v>
      </c>
      <c r="B38" s="1" t="s">
        <v>6</v>
      </c>
      <c r="C38" s="1" t="s">
        <v>44</v>
      </c>
      <c r="D38" s="1" t="s">
        <v>6</v>
      </c>
      <c r="E38" s="1" t="s">
        <v>8</v>
      </c>
      <c r="F38" s="1" t="str">
        <f aca="false">CONCATENATE("(",A38,",",B38,C38,D38,",",E38,"),")</f>
        <v>(37,“Decisão sobre pedidos de impugnação“,true),</v>
      </c>
    </row>
    <row r="39" customFormat="false" ht="12.8" hidden="false" customHeight="false" outlineLevel="0" collapsed="false">
      <c r="A39" s="1" t="n">
        <f aca="false">1+A38</f>
        <v>38</v>
      </c>
      <c r="B39" s="1" t="s">
        <v>6</v>
      </c>
      <c r="C39" s="1" t="s">
        <v>45</v>
      </c>
      <c r="D39" s="1" t="s">
        <v>6</v>
      </c>
      <c r="E39" s="1" t="s">
        <v>8</v>
      </c>
      <c r="F39" s="1" t="str">
        <f aca="false">CONCATENATE("(",A39,",",B39,C39,D39,",",E39,"),")</f>
        <v>(38,“Pedidos de esclarecimentos“,true),</v>
      </c>
    </row>
    <row r="40" customFormat="false" ht="12.8" hidden="false" customHeight="false" outlineLevel="0" collapsed="false">
      <c r="A40" s="1" t="n">
        <f aca="false">1+A39</f>
        <v>39</v>
      </c>
      <c r="B40" s="1" t="s">
        <v>6</v>
      </c>
      <c r="C40" s="1" t="s">
        <v>46</v>
      </c>
      <c r="D40" s="1" t="s">
        <v>6</v>
      </c>
      <c r="E40" s="1" t="s">
        <v>8</v>
      </c>
      <c r="F40" s="1" t="str">
        <f aca="false">CONCATENATE("(",A40,",",B40,C40,D40,",",E40,"),")</f>
        <v>(39,“Esclarecimentos publicado“,true),</v>
      </c>
    </row>
    <row r="41" customFormat="false" ht="12.8" hidden="false" customHeight="false" outlineLevel="0" collapsed="false">
      <c r="A41" s="1" t="n">
        <f aca="false">1+A40</f>
        <v>40</v>
      </c>
      <c r="B41" s="1" t="s">
        <v>6</v>
      </c>
      <c r="C41" s="1" t="s">
        <v>47</v>
      </c>
      <c r="D41" s="1" t="s">
        <v>6</v>
      </c>
      <c r="E41" s="1" t="s">
        <v>8</v>
      </c>
      <c r="F41" s="1" t="str">
        <f aca="false">CONCATENATE("(",A41,",",B41,C41,D41,",",E41,"),")</f>
        <v>(40,“Edital Revisado“,true),</v>
      </c>
    </row>
    <row r="42" customFormat="false" ht="12.8" hidden="false" customHeight="false" outlineLevel="0" collapsed="false">
      <c r="A42" s="1" t="n">
        <f aca="false">1+A41</f>
        <v>41</v>
      </c>
      <c r="B42" s="1" t="s">
        <v>6</v>
      </c>
      <c r="C42" s="1" t="s">
        <v>48</v>
      </c>
      <c r="D42" s="1" t="s">
        <v>6</v>
      </c>
      <c r="E42" s="1" t="s">
        <v>8</v>
      </c>
      <c r="F42" s="1" t="str">
        <f aca="false">CONCATENATE("(",A42,",",B42,C42,D42,",",E42,"),")</f>
        <v>(41,“TR Revisado“,true),</v>
      </c>
    </row>
    <row r="43" customFormat="false" ht="12.8" hidden="false" customHeight="false" outlineLevel="0" collapsed="false">
      <c r="A43" s="1" t="n">
        <f aca="false">1+A42</f>
        <v>42</v>
      </c>
      <c r="B43" s="1" t="s">
        <v>6</v>
      </c>
      <c r="C43" s="1" t="s">
        <v>49</v>
      </c>
      <c r="D43" s="1" t="s">
        <v>6</v>
      </c>
      <c r="E43" s="1" t="s">
        <v>8</v>
      </c>
      <c r="F43" s="1" t="str">
        <f aca="false">CONCATENATE("(",A43,",",B43,C43,D43,",",E43,"),")</f>
        <v>(42,“Minuta ARP Revisado“,true),</v>
      </c>
    </row>
    <row r="44" customFormat="false" ht="12.8" hidden="false" customHeight="false" outlineLevel="0" collapsed="false">
      <c r="A44" s="1" t="n">
        <f aca="false">1+A43</f>
        <v>43</v>
      </c>
      <c r="B44" s="1" t="s">
        <v>6</v>
      </c>
      <c r="C44" s="1" t="s">
        <v>50</v>
      </c>
      <c r="D44" s="1" t="s">
        <v>6</v>
      </c>
      <c r="E44" s="1" t="s">
        <v>8</v>
      </c>
      <c r="F44" s="1" t="str">
        <f aca="false">CONCATENATE("(",A44,",",B44,C44,D44,",",E44,"),")</f>
        <v>(43,“Minuta Contrato Revisado“,true),</v>
      </c>
    </row>
    <row r="45" customFormat="false" ht="12.8" hidden="false" customHeight="false" outlineLevel="0" collapsed="false">
      <c r="A45" s="1" t="n">
        <f aca="false">1+A44</f>
        <v>44</v>
      </c>
      <c r="B45" s="1" t="s">
        <v>6</v>
      </c>
      <c r="C45" s="1" t="s">
        <v>51</v>
      </c>
      <c r="D45" s="1" t="s">
        <v>6</v>
      </c>
      <c r="E45" s="1" t="s">
        <v>8</v>
      </c>
      <c r="F45" s="1" t="str">
        <f aca="false">CONCATENATE("(",A45,",",B45,C45,D45,",",E45,"),")</f>
        <v>(44,“Aviso(s) de publicação(ões) no DOU“,true),</v>
      </c>
    </row>
    <row r="46" customFormat="false" ht="12.8" hidden="false" customHeight="false" outlineLevel="0" collapsed="false">
      <c r="A46" s="1" t="n">
        <f aca="false">1+A45</f>
        <v>45</v>
      </c>
      <c r="B46" s="1" t="s">
        <v>6</v>
      </c>
      <c r="C46" s="1" t="s">
        <v>52</v>
      </c>
      <c r="D46" s="1" t="s">
        <v>6</v>
      </c>
      <c r="E46" s="1" t="s">
        <v>8</v>
      </c>
      <c r="F46" s="1" t="str">
        <f aca="false">CONCATENATE("(",A46,",",B46,C46,D46,",",E46,"),")</f>
        <v>(45,“ARP Assinada“,true),</v>
      </c>
    </row>
    <row r="47" customFormat="false" ht="12.8" hidden="false" customHeight="false" outlineLevel="0" collapsed="false">
      <c r="A47" s="1" t="n">
        <f aca="false">1+A46</f>
        <v>46</v>
      </c>
      <c r="B47" s="1" t="s">
        <v>6</v>
      </c>
      <c r="C47" s="1" t="s">
        <v>53</v>
      </c>
      <c r="D47" s="1" t="s">
        <v>6</v>
      </c>
      <c r="E47" s="1" t="s">
        <v>8</v>
      </c>
      <c r="F47" s="1" t="str">
        <f aca="false">CONCATENATE("(",A47,",",B47,C47,D47,",",E47,"),")</f>
        <v>(46,“Contrato assinado“,true),</v>
      </c>
    </row>
    <row r="48" customFormat="false" ht="12.8" hidden="false" customHeight="false" outlineLevel="0" collapsed="false">
      <c r="A48" s="1" t="n">
        <f aca="false">1+A47</f>
        <v>47</v>
      </c>
      <c r="B48" s="1" t="s">
        <v>6</v>
      </c>
      <c r="C48" s="1" t="s">
        <v>54</v>
      </c>
      <c r="D48" s="1" t="s">
        <v>6</v>
      </c>
      <c r="E48" s="1" t="s">
        <v>8</v>
      </c>
      <c r="F48" s="1" t="str">
        <f aca="false">CONCATENATE("(",A48,",",B48,C48,D48,",",E48,");")</f>
        <v>(47,“Termo De Encerramento“,true);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2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5" activeCellId="0" sqref="B25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23.83"/>
  </cols>
  <sheetData>
    <row r="1" customFormat="false" ht="12.8" hidden="false" customHeight="false" outlineLevel="0" collapsed="false">
      <c r="A1" s="0" t="s">
        <v>55</v>
      </c>
      <c r="B1" s="0" t="s">
        <v>56</v>
      </c>
      <c r="C1" s="0" t="n">
        <v>1</v>
      </c>
      <c r="D1" s="0" t="s">
        <v>57</v>
      </c>
    </row>
    <row r="2" customFormat="false" ht="12.8" hidden="false" customHeight="false" outlineLevel="0" collapsed="false">
      <c r="A2" s="0" t="s">
        <v>58</v>
      </c>
      <c r="B2" s="0" t="s">
        <v>59</v>
      </c>
      <c r="C2" s="0" t="n">
        <v>2</v>
      </c>
      <c r="D2" s="0" t="s">
        <v>57</v>
      </c>
    </row>
    <row r="3" customFormat="false" ht="12.8" hidden="false" customHeight="false" outlineLevel="0" collapsed="false">
      <c r="A3" s="0" t="s">
        <v>60</v>
      </c>
      <c r="B3" s="0" t="s">
        <v>61</v>
      </c>
      <c r="C3" s="0" t="n">
        <v>3</v>
      </c>
      <c r="D3" s="0" t="s">
        <v>57</v>
      </c>
    </row>
    <row r="4" customFormat="false" ht="12.8" hidden="false" customHeight="false" outlineLevel="0" collapsed="false">
      <c r="A4" s="0" t="s">
        <v>62</v>
      </c>
      <c r="B4" s="0" t="s">
        <v>63</v>
      </c>
      <c r="C4" s="0" t="n">
        <v>4</v>
      </c>
      <c r="D4" s="0" t="s">
        <v>57</v>
      </c>
    </row>
    <row r="5" customFormat="false" ht="12.8" hidden="false" customHeight="false" outlineLevel="0" collapsed="false">
      <c r="A5" s="0" t="s">
        <v>64</v>
      </c>
      <c r="B5" s="0" t="s">
        <v>65</v>
      </c>
      <c r="C5" s="0" t="n">
        <v>5</v>
      </c>
      <c r="D5" s="0" t="s">
        <v>57</v>
      </c>
    </row>
    <row r="6" customFormat="false" ht="12.8" hidden="false" customHeight="false" outlineLevel="0" collapsed="false">
      <c r="A6" s="0" t="s">
        <v>66</v>
      </c>
      <c r="B6" s="0" t="s">
        <v>67</v>
      </c>
      <c r="C6" s="0" t="n">
        <v>6</v>
      </c>
      <c r="D6" s="0" t="s">
        <v>57</v>
      </c>
    </row>
    <row r="7" customFormat="false" ht="12.8" hidden="false" customHeight="false" outlineLevel="0" collapsed="false">
      <c r="A7" s="0" t="s">
        <v>68</v>
      </c>
      <c r="B7" s="0" t="s">
        <v>69</v>
      </c>
      <c r="C7" s="0" t="n">
        <v>7</v>
      </c>
      <c r="D7" s="0" t="s">
        <v>57</v>
      </c>
    </row>
    <row r="8" customFormat="false" ht="12.8" hidden="false" customHeight="false" outlineLevel="0" collapsed="false">
      <c r="A8" s="0" t="s">
        <v>70</v>
      </c>
      <c r="B8" s="0" t="s">
        <v>69</v>
      </c>
      <c r="C8" s="0" t="n">
        <v>8</v>
      </c>
      <c r="D8" s="0" t="s">
        <v>57</v>
      </c>
    </row>
    <row r="9" customFormat="false" ht="12.8" hidden="false" customHeight="false" outlineLevel="0" collapsed="false">
      <c r="A9" s="0" t="s">
        <v>71</v>
      </c>
      <c r="B9" s="0" t="s">
        <v>69</v>
      </c>
      <c r="C9" s="0" t="n">
        <v>9</v>
      </c>
      <c r="D9" s="0" t="s">
        <v>57</v>
      </c>
    </row>
    <row r="10" customFormat="false" ht="12.8" hidden="false" customHeight="false" outlineLevel="0" collapsed="false">
      <c r="A10" s="0" t="s">
        <v>72</v>
      </c>
      <c r="B10" s="0" t="s">
        <v>69</v>
      </c>
      <c r="C10" s="0" t="n">
        <v>10</v>
      </c>
      <c r="D10" s="0" t="s">
        <v>57</v>
      </c>
    </row>
    <row r="11" customFormat="false" ht="12.8" hidden="false" customHeight="false" outlineLevel="0" collapsed="false">
      <c r="A11" s="0" t="s">
        <v>73</v>
      </c>
      <c r="B11" s="0" t="s">
        <v>69</v>
      </c>
      <c r="C11" s="0" t="n">
        <v>11</v>
      </c>
      <c r="D11" s="0" t="s">
        <v>57</v>
      </c>
    </row>
    <row r="12" customFormat="false" ht="12.8" hidden="false" customHeight="false" outlineLevel="0" collapsed="false">
      <c r="A12" s="0" t="s">
        <v>74</v>
      </c>
      <c r="B12" s="0" t="s">
        <v>69</v>
      </c>
      <c r="C12" s="0" t="n">
        <v>12</v>
      </c>
      <c r="D12" s="0" t="s">
        <v>57</v>
      </c>
    </row>
    <row r="13" customFormat="false" ht="12.8" hidden="false" customHeight="false" outlineLevel="0" collapsed="false">
      <c r="A13" s="0" t="s">
        <v>75</v>
      </c>
      <c r="B13" s="0" t="s">
        <v>69</v>
      </c>
      <c r="C13" s="0" t="n">
        <v>13</v>
      </c>
      <c r="D13" s="0" t="s">
        <v>57</v>
      </c>
    </row>
    <row r="14" customFormat="false" ht="12.8" hidden="false" customHeight="false" outlineLevel="0" collapsed="false">
      <c r="A14" s="0" t="s">
        <v>76</v>
      </c>
      <c r="B14" s="0" t="s">
        <v>69</v>
      </c>
      <c r="C14" s="0" t="n">
        <v>14</v>
      </c>
      <c r="D14" s="0" t="s">
        <v>57</v>
      </c>
    </row>
    <row r="15" customFormat="false" ht="12.8" hidden="false" customHeight="false" outlineLevel="0" collapsed="false">
      <c r="A15" s="0" t="s">
        <v>77</v>
      </c>
      <c r="B15" s="0" t="s">
        <v>69</v>
      </c>
      <c r="C15" s="0" t="n">
        <v>15</v>
      </c>
      <c r="D15" s="0" t="s">
        <v>57</v>
      </c>
    </row>
    <row r="16" customFormat="false" ht="12.8" hidden="false" customHeight="false" outlineLevel="0" collapsed="false">
      <c r="A16" s="0" t="s">
        <v>78</v>
      </c>
      <c r="B16" s="0" t="s">
        <v>69</v>
      </c>
      <c r="C16" s="0" t="n">
        <v>16</v>
      </c>
      <c r="D16" s="0" t="s">
        <v>57</v>
      </c>
    </row>
    <row r="17" customFormat="false" ht="12.8" hidden="false" customHeight="false" outlineLevel="0" collapsed="false">
      <c r="A17" s="0" t="s">
        <v>79</v>
      </c>
      <c r="B17" s="0" t="s">
        <v>69</v>
      </c>
      <c r="C17" s="0" t="n">
        <v>17</v>
      </c>
      <c r="D17" s="0" t="s">
        <v>57</v>
      </c>
    </row>
    <row r="18" customFormat="false" ht="12.8" hidden="false" customHeight="false" outlineLevel="0" collapsed="false">
      <c r="A18" s="0" t="s">
        <v>80</v>
      </c>
      <c r="B18" s="0" t="s">
        <v>69</v>
      </c>
      <c r="C18" s="0" t="n">
        <v>18</v>
      </c>
      <c r="D18" s="0" t="s">
        <v>57</v>
      </c>
    </row>
    <row r="19" customFormat="false" ht="12.8" hidden="false" customHeight="false" outlineLevel="0" collapsed="false">
      <c r="A19" s="0" t="s">
        <v>81</v>
      </c>
      <c r="B19" s="0" t="s">
        <v>69</v>
      </c>
      <c r="C19" s="0" t="n">
        <v>19</v>
      </c>
      <c r="D19" s="0" t="s">
        <v>57</v>
      </c>
    </row>
    <row r="20" customFormat="false" ht="12.8" hidden="false" customHeight="false" outlineLevel="0" collapsed="false">
      <c r="A20" s="0" t="s">
        <v>82</v>
      </c>
      <c r="B20" s="0" t="s">
        <v>69</v>
      </c>
      <c r="C20" s="0" t="n">
        <v>20</v>
      </c>
      <c r="D20" s="0" t="s">
        <v>57</v>
      </c>
    </row>
    <row r="21" customFormat="false" ht="12.8" hidden="false" customHeight="false" outlineLevel="0" collapsed="false">
      <c r="A21" s="0" t="s">
        <v>83</v>
      </c>
      <c r="B21" s="0" t="s">
        <v>69</v>
      </c>
      <c r="C21" s="0" t="n">
        <v>21</v>
      </c>
      <c r="D21" s="0" t="s">
        <v>57</v>
      </c>
    </row>
    <row r="22" customFormat="false" ht="12.8" hidden="false" customHeight="false" outlineLevel="0" collapsed="false">
      <c r="A22" s="0" t="s">
        <v>84</v>
      </c>
      <c r="B22" s="0" t="s">
        <v>69</v>
      </c>
      <c r="C22" s="0" t="n">
        <v>22</v>
      </c>
      <c r="D22" s="0" t="s">
        <v>57</v>
      </c>
    </row>
    <row r="23" customFormat="false" ht="12.8" hidden="false" customHeight="false" outlineLevel="0" collapsed="false">
      <c r="A23" s="0" t="s">
        <v>85</v>
      </c>
      <c r="B23" s="0" t="s">
        <v>69</v>
      </c>
      <c r="C23" s="0" t="n">
        <v>23</v>
      </c>
      <c r="D23" s="0" t="s">
        <v>57</v>
      </c>
    </row>
    <row r="24" customFormat="false" ht="12.8" hidden="false" customHeight="false" outlineLevel="0" collapsed="false">
      <c r="A24" s="0" t="s">
        <v>86</v>
      </c>
      <c r="B24" s="0" t="s">
        <v>87</v>
      </c>
      <c r="C24" s="0" t="n">
        <v>24</v>
      </c>
      <c r="D24" s="0" t="s">
        <v>57</v>
      </c>
    </row>
    <row r="25" customFormat="false" ht="12.8" hidden="false" customHeight="false" outlineLevel="0" collapsed="false">
      <c r="A25" s="0" t="s">
        <v>88</v>
      </c>
      <c r="B25" s="0" t="s">
        <v>87</v>
      </c>
      <c r="C25" s="0" t="n">
        <v>24</v>
      </c>
      <c r="D25" s="0" t="s">
        <v>57</v>
      </c>
    </row>
    <row r="26" customFormat="false" ht="12.8" hidden="false" customHeight="false" outlineLevel="0" collapsed="false">
      <c r="A26" s="0" t="s">
        <v>89</v>
      </c>
      <c r="B26" s="0" t="s">
        <v>87</v>
      </c>
      <c r="C26" s="0" t="n">
        <v>24</v>
      </c>
      <c r="D26" s="0" t="s">
        <v>57</v>
      </c>
    </row>
    <row r="27" customFormat="false" ht="12.8" hidden="false" customHeight="false" outlineLevel="0" collapsed="false">
      <c r="A27" s="0" t="s">
        <v>90</v>
      </c>
      <c r="B27" s="0" t="s">
        <v>87</v>
      </c>
      <c r="C27" s="0" t="n">
        <v>24</v>
      </c>
      <c r="D27" s="0" t="s">
        <v>57</v>
      </c>
    </row>
    <row r="28" customFormat="false" ht="12.8" hidden="false" customHeight="false" outlineLevel="0" collapsed="false">
      <c r="A28" s="0" t="s">
        <v>91</v>
      </c>
      <c r="B28" s="0" t="s">
        <v>87</v>
      </c>
      <c r="C28" s="0" t="n">
        <v>24</v>
      </c>
      <c r="D28" s="0" t="s">
        <v>92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LibreOffice/7.5.1.2$Linux_X86_64 LibreOffice_project/fcbaee479e84c6cd81291587d2ee68cba099e129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2023-05-02T15:46:13Z</dcterms:created>
  <dc:creator/>
  <dc:description/>
  <dc:language>pt-BR</dc:language>
  <cp:lastModifiedBy/>
  <dcterms:modified xsi:type="dcterms:W3CDTF">2023-05-02T16:20:57Z</dcterms:modified>
  <cp:revision>5</cp:revision>
  <dc:subject/>
  <dc:title/>
</cp:coreProperties>
</file>